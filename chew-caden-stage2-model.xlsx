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n690\Downloads\"/>
    </mc:Choice>
  </mc:AlternateContent>
  <xr:revisionPtr revIDLastSave="0" documentId="8_{9BF6BD39-9883-4628-86C7-02BAE98725E4}" xr6:coauthVersionLast="47" xr6:coauthVersionMax="47" xr10:uidLastSave="{00000000-0000-0000-0000-000000000000}"/>
  <bookViews>
    <workbookView xWindow="-110" yWindow="-110" windowWidth="19420" windowHeight="10300" tabRatio="500" firstSheet="1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4" l="1"/>
  <c r="C67" i="4"/>
  <c r="C68" i="4"/>
  <c r="C86" i="4" s="1"/>
  <c r="C82" i="4" s="1"/>
  <c r="C66" i="4"/>
  <c r="C85" i="4"/>
  <c r="C84" i="4"/>
  <c r="C83" i="4"/>
  <c r="C78" i="4"/>
  <c r="C80" i="4"/>
  <c r="C79" i="4"/>
  <c r="C60" i="4"/>
  <c r="C59" i="4"/>
  <c r="C57" i="4"/>
  <c r="C55" i="4"/>
  <c r="C54" i="4"/>
  <c r="C51" i="4"/>
  <c r="C48" i="4" l="1"/>
  <c r="C75" i="4"/>
  <c r="C73" i="4"/>
  <c r="C72" i="4"/>
  <c r="C69" i="4"/>
  <c r="C65" i="4"/>
  <c r="C64" i="4"/>
  <c r="C63" i="4"/>
  <c r="C58" i="4"/>
  <c r="C56" i="4"/>
  <c r="C50" i="4"/>
  <c r="C49" i="4"/>
  <c r="C47" i="4"/>
  <c r="C46" i="4"/>
  <c r="C43" i="4"/>
  <c r="C42" i="4"/>
  <c r="C41" i="4"/>
  <c r="C29" i="4"/>
  <c r="C27" i="4"/>
  <c r="C26" i="4"/>
  <c r="C36" i="4" s="1"/>
  <c r="C25" i="4"/>
  <c r="C22" i="4"/>
  <c r="C21" i="4"/>
  <c r="C20" i="4"/>
  <c r="C14" i="4"/>
  <c r="C13" i="4"/>
  <c r="C12" i="4"/>
  <c r="C33" i="4" s="1"/>
  <c r="C9" i="4"/>
  <c r="C28" i="3"/>
  <c r="C20" i="3"/>
  <c r="C13" i="3"/>
  <c r="C14" i="3" s="1"/>
  <c r="C30" i="3" s="1"/>
  <c r="D18" i="2"/>
  <c r="D16" i="2"/>
  <c r="D13" i="2"/>
  <c r="C12" i="2"/>
  <c r="C15" i="2" s="1"/>
  <c r="D10" i="2"/>
  <c r="D9" i="2"/>
  <c r="D8" i="2"/>
  <c r="C6" i="2"/>
  <c r="D6" i="2" s="1"/>
  <c r="D5" i="2"/>
  <c r="D4" i="2"/>
  <c r="H18" i="1"/>
  <c r="C16" i="4" s="1"/>
  <c r="C35" i="4" s="1"/>
  <c r="G18" i="1"/>
  <c r="D14" i="1"/>
  <c r="C14" i="1"/>
  <c r="D9" i="1"/>
  <c r="C9" i="1"/>
  <c r="C23" i="4" s="1"/>
  <c r="H8" i="1"/>
  <c r="H13" i="1" s="1"/>
  <c r="H20" i="1" s="1"/>
  <c r="D18" i="1" s="1"/>
  <c r="G8" i="1"/>
  <c r="G13" i="1" s="1"/>
  <c r="C30" i="4" l="1"/>
  <c r="G20" i="1"/>
  <c r="C18" i="1" s="1"/>
  <c r="D20" i="1"/>
  <c r="C15" i="4" s="1"/>
  <c r="D15" i="2"/>
  <c r="C17" i="2"/>
  <c r="C24" i="4"/>
  <c r="C20" i="1"/>
  <c r="D12" i="2"/>
  <c r="C21" i="1" l="1"/>
  <c r="C28" i="4"/>
  <c r="C34" i="4"/>
  <c r="D17" i="2"/>
  <c r="C19" i="4"/>
  <c r="C19" i="2"/>
  <c r="D19" i="2" s="1"/>
</calcChain>
</file>

<file path=xl/sharedStrings.xml><?xml version="1.0" encoding="utf-8"?>
<sst xmlns="http://schemas.openxmlformats.org/spreadsheetml/2006/main" count="309" uniqueCount="277">
  <si>
    <t>Balance Sheet — Caterpillar Inc. (CAT)</t>
  </si>
  <si>
    <t>ASSETS</t>
  </si>
  <si>
    <t>FY2024 (Dec 31, 2024)</t>
  </si>
  <si>
    <t>FY2023 (Dec 31,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</si>
  <si>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</si>
  <si>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</si>
  <si>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</si>
  <si>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</si>
  <si>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</si>
  <si>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</si>
  <si>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</si>
  <si>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</si>
  <si>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</si>
  <si>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</si>
  <si>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</si>
  <si>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</si>
  <si>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</si>
  <si>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</si>
  <si>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</si>
  <si>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</si>
  <si>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</si>
  <si>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</si>
  <si>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</si>
  <si>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</si>
  <si>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</si>
  <si>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</si>
  <si>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</si>
  <si>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Intangible assets (goodwill)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</si>
  <si>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</si>
  <si>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</si>
  <si>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</si>
  <si>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</si>
  <si>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</si>
  <si>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</si>
  <si>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Caterpillar 10-K FY2024, SEC EDGAR</t>
  </si>
  <si>
    <t>Income Statement — Caterpillar Inc. (CAT)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</si>
  <si>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</si>
  <si>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</si>
  <si>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</si>
  <si>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</si>
  <si>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</si>
  <si>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</si>
  <si>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</si>
  <si>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</si>
  <si>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</si>
  <si>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</si>
  <si>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</si>
  <si>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</si>
  <si>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</si>
  <si>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</si>
  <si>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</si>
  <si>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Caterpillar Inc. (CAT)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</si>
  <si>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</si>
  <si>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</si>
  <si>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</si>
  <si>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</si>
  <si>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</si>
  <si>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</si>
  <si>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</si>
  <si>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</si>
  <si>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</si>
  <si>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</si>
  <si>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</si>
  <si>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</si>
  <si>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</si>
  <si>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</si>
  <si>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</si>
  <si>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</si>
  <si>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</si>
  <si>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</si>
  <si>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</si>
  <si>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</si>
  <si>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</si>
  <si>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</si>
  <si>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</si>
  <si>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</si>
  <si>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</si>
  <si>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</si>
  <si>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Caterpillar Inc. (CAT)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</si>
  <si>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</si>
  <si>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</si>
  <si>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</si>
  <si>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</si>
  <si>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</si>
  <si>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</si>
  <si>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</si>
  <si>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</si>
  <si>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</si>
  <si>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</si>
  <si>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</si>
  <si>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</si>
  <si>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</si>
  <si>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</si>
  <si>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</si>
  <si>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</si>
  <si>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</si>
  <si>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</si>
  <si>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</si>
  <si>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</si>
  <si>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</si>
  <si>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</si>
  <si>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</si>
  <si>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</si>
  <si>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</si>
  <si>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</si>
  <si>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</si>
  <si>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</si>
  <si>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</si>
  <si>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</si>
  <si>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</si>
  <si>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</si>
  <si>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</si>
  <si>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</si>
  <si>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</si>
  <si>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</si>
  <si>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</si>
  <si>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</si>
  <si>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</si>
  <si>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</si>
  <si>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</si>
  <si>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</si>
  <si>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</si>
  <si>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</si>
  <si>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</si>
  <si>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</si>
  <si>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</si>
  <si>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</si>
  <si>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</si>
  <si>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</si>
  <si>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</si>
  <si>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</si>
  <si>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</si>
  <si>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</si>
  <si>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</si>
  <si>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</si>
  <si>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</si>
  <si>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</si>
  <si>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</si>
  <si>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</si>
  <si>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</si>
  <si>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</si>
  <si>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</si>
  <si>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</si>
  <si>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</si>
  <si>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</si>
  <si>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</si>
  <si>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</si>
  <si>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</si>
  <si>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</si>
  <si>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</si>
  <si>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</si>
  <si>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</si>
  <si>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</si>
  <si>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</si>
  <si>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</si>
  <si>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</si>
  <si>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</si>
  <si>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</si>
  <si>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</si>
  <si>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</si>
  <si>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</si>
  <si>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</si>
  <si>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</si>
  <si>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</si>
  <si>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</si>
  <si>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</si>
  <si>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</si>
  <si>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</si>
  <si>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</si>
  <si>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</si>
  <si>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</si>
  <si>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</si>
  <si>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</si>
  <si>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</si>
  <si>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</si>
  <si>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</si>
  <si>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</si>
  <si>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</si>
  <si>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</si>
  <si>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</si>
  <si>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</si>
  <si>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</si>
  <si>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</si>
  <si>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</si>
  <si>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</si>
  <si>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</si>
  <si>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</si>
  <si>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</si>
  <si>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</si>
  <si>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</si>
  <si>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</si>
  <si>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</si>
  <si>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</si>
  <si>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</si>
  <si>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</si>
  <si>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</si>
  <si>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</si>
  <si>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</si>
  <si>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</si>
  <si>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</si>
  <si>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</si>
  <si>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</si>
  <si>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</si>
  <si>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</si>
  <si>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</si>
  <si>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</si>
  <si>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</si>
  <si>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</si>
  <si>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</si>
  <si>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</si>
  <si>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</si>
  <si>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</si>
  <si>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</si>
  <si>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</si>
  <si>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</si>
  <si>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</si>
  <si>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</si>
  <si>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</si>
  <si>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</si>
  <si>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</si>
  <si>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</si>
  <si>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</si>
  <si>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</si>
  <si>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</si>
  <si>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</si>
  <si>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</si>
  <si>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</si>
  <si>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</si>
  <si>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</si>
  <si>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</si>
  <si>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</si>
  <si>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</si>
  <si>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</si>
  <si>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</si>
  <si>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</si>
  <si>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</si>
  <si>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</si>
  <si>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</si>
  <si>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</si>
  <si>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</si>
  <si>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</si>
  <si>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</si>
  <si>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</si>
  <si>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</si>
  <si>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</si>
  <si>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</si>
  <si>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Caterpillar Inc. (CAT)</t>
  </si>
  <si>
    <t>Company:</t>
  </si>
  <si>
    <t>Caterpillar Inc.</t>
  </si>
  <si>
    <t>Ticker:</t>
  </si>
  <si>
    <t>CAT</t>
  </si>
  <si>
    <t>Industry:</t>
  </si>
  <si>
    <t>Industrials – Heavy Machinery &amp; Equipment</t>
  </si>
  <si>
    <t>Fiscal Year (current):</t>
  </si>
  <si>
    <t>Fiscal Year (prior):</t>
  </si>
  <si>
    <t>Data Source:</t>
  </si>
  <si>
    <t>Caterpillar 10-K FY2024, SEC EDGAR</t>
  </si>
  <si>
    <t>Units:</t>
  </si>
  <si>
    <t>All figures in millions of US dollars unless otherwise noted.</t>
  </si>
  <si>
    <t>Tax Rate:</t>
  </si>
  <si>
    <t>21.4% — use as analyst assumption (adjust to effective rate if preferred)</t>
  </si>
  <si>
    <t>Cost of Capital:</t>
  </si>
  <si>
    <t>7.9% — estimated WACC; students may refine using CAPM + class methodology</t>
  </si>
  <si>
    <t>Share Price:</t>
  </si>
  <si>
    <t>$349.58 — end-of-fiscal-year closing price</t>
  </si>
  <si>
    <t>Shares Outstanding:</t>
  </si>
  <si>
    <t>492M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</si>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</sst>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3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9" fillId="11" borderId="1" xfId="0" applyNumberFormat="1" applyFont="1" applyFill="1" applyBorder="1" applyAlignment="1">
      <alignment horizontal="right" vertical="center"/>
    </xf>
    <xf numFmtId="3" fontId="18" fillId="11" borderId="1" xfId="0" applyNumberFormat="1" applyFont="1" applyFill="1" applyBorder="1" applyAlignment="1">
      <alignment horizontal="right" vertical="center"/>
    </xf>
    <xf numFmtId="3" fontId="20" fillId="11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2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3" borderId="0" xfId="0" applyNumberFormat="1" applyFont="1" applyFill="1" applyAlignment="1">
      <alignment horizontal="right" vertical="center"/>
    </xf>
    <xf numFmtId="3" fontId="19" fillId="11" borderId="0" xfId="0" applyNumberFormat="1" applyFont="1" applyFill="1" applyAlignment="1">
      <alignment horizontal="right" vertical="center"/>
    </xf>
    <xf numFmtId="165" fontId="6" fillId="8" borderId="0" xfId="0" applyNumberFormat="1" applyFont="1" applyFill="1" applyAlignment="1">
      <alignment horizontal="right" vertical="center"/>
    </xf>
    <xf numFmtId="164" fontId="8" fillId="7" borderId="0" xfId="0" applyNumberFormat="1" applyFont="1" applyFill="1" applyAlignment="1">
      <alignment horizontal="right" vertical="center"/>
    </xf>
    <xf numFmtId="166" fontId="19" fillId="13" borderId="0" xfId="0" applyNumberFormat="1" applyFont="1" applyFill="1"/>
    <xf numFmtId="3" fontId="19" fillId="11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4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1" borderId="0" xfId="0" applyNumberFormat="1" applyFont="1" applyFill="1" applyAlignment="1">
      <alignment horizontal="right" vertical="center"/>
    </xf>
    <xf numFmtId="167" fontId="19" fillId="11" borderId="0" xfId="0" applyNumberFormat="1" applyFont="1" applyFill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45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45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45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45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45">
      <c r="A5" s="1"/>
      <c r="B5" s="9" t="s">
        <v>8</v>
      </c>
      <c r="C5" s="10">
        <v>5728</v>
      </c>
      <c r="D5" s="10">
        <v>6061</v>
      </c>
      <c r="E5" s="5"/>
      <c r="F5" s="9" t="s">
        <v>9</v>
      </c>
      <c r="G5" s="10">
        <v>9263</v>
      </c>
      <c r="H5" s="10">
        <v>8574</v>
      </c>
    </row>
    <row r="6" spans="1:8" ht="15" customHeight="1" x14ac:dyDescent="0.45">
      <c r="A6" s="1"/>
      <c r="B6" s="9" t="s">
        <v>10</v>
      </c>
      <c r="C6" s="10">
        <v>8142</v>
      </c>
      <c r="D6" s="10">
        <v>8014</v>
      </c>
      <c r="E6" s="5"/>
      <c r="F6" s="9" t="s">
        <v>11</v>
      </c>
      <c r="G6" s="10">
        <v>3748</v>
      </c>
      <c r="H6" s="10">
        <v>3892</v>
      </c>
    </row>
    <row r="7" spans="1:8" ht="15" customHeight="1" x14ac:dyDescent="0.45">
      <c r="A7" s="1"/>
      <c r="B7" s="9" t="s">
        <v>12</v>
      </c>
      <c r="C7" s="10">
        <v>12476</v>
      </c>
      <c r="D7" s="10">
        <v>13693</v>
      </c>
      <c r="E7" s="5"/>
      <c r="F7" s="9" t="s">
        <v>13</v>
      </c>
      <c r="G7" s="10">
        <v>7064</v>
      </c>
      <c r="H7" s="10">
        <v>7213</v>
      </c>
    </row>
    <row r="8" spans="1:8" ht="15" customHeight="1" x14ac:dyDescent="0.45">
      <c r="A8" s="1"/>
      <c r="B8" s="9" t="s">
        <v>14</v>
      </c>
      <c r="C8" s="10">
        <v>1855</v>
      </c>
      <c r="D8" s="10">
        <v>1720</v>
      </c>
      <c r="E8" s="5"/>
      <c r="F8" s="11" t="s">
        <v>15</v>
      </c>
      <c r="G8" s="12">
        <f>SUM(G5:G7)</f>
        <v>20075</v>
      </c>
      <c r="H8" s="12">
        <f>SUM(H5:H7)</f>
        <v>19679</v>
      </c>
    </row>
    <row r="9" spans="1:8" ht="15" customHeight="1" x14ac:dyDescent="0.45">
      <c r="A9" s="1"/>
      <c r="B9" s="11" t="s">
        <v>16</v>
      </c>
      <c r="C9" s="13">
        <f>SUM(C5:C8)</f>
        <v>28201</v>
      </c>
      <c r="D9" s="13">
        <f>SUM(D5:D8)</f>
        <v>29488</v>
      </c>
      <c r="E9" s="5"/>
      <c r="F9" s="1"/>
      <c r="G9" s="1"/>
      <c r="H9" s="1"/>
    </row>
    <row r="10" spans="1:8" ht="6" customHeight="1" x14ac:dyDescent="0.45">
      <c r="A10" s="1"/>
      <c r="B10" s="1"/>
      <c r="C10" s="1"/>
      <c r="D10" s="1"/>
      <c r="E10" s="5"/>
      <c r="F10" s="9" t="s">
        <v>17</v>
      </c>
      <c r="G10" s="10">
        <v>25046</v>
      </c>
      <c r="H10" s="10">
        <v>25107</v>
      </c>
    </row>
    <row r="11" spans="1:8" ht="15.75" customHeight="1" x14ac:dyDescent="0.45">
      <c r="A11" s="1"/>
      <c r="B11" s="7" t="s">
        <v>18</v>
      </c>
      <c r="C11" s="8"/>
      <c r="D11" s="8"/>
      <c r="E11" s="5"/>
      <c r="F11" s="9" t="s">
        <v>19</v>
      </c>
      <c r="G11" s="10">
        <v>8726</v>
      </c>
      <c r="H11" s="10">
        <v>8684</v>
      </c>
    </row>
    <row r="12" spans="1:8" ht="15" customHeight="1" x14ac:dyDescent="0.45">
      <c r="A12" s="1"/>
      <c r="B12" s="9" t="s">
        <v>20</v>
      </c>
      <c r="C12" s="10">
        <v>15818</v>
      </c>
      <c r="D12" s="10">
        <v>15262</v>
      </c>
      <c r="E12" s="5"/>
      <c r="F12" s="1"/>
      <c r="G12" s="1"/>
      <c r="H12" s="1"/>
    </row>
    <row r="13" spans="1:8" ht="15" customHeight="1" x14ac:dyDescent="0.45">
      <c r="A13" s="1"/>
      <c r="B13" s="9" t="s">
        <v>21</v>
      </c>
      <c r="C13" s="10">
        <v>9651</v>
      </c>
      <c r="D13" s="10">
        <v>9183</v>
      </c>
      <c r="E13" s="5"/>
      <c r="F13" s="11" t="s">
        <v>22</v>
      </c>
      <c r="G13" s="12">
        <f>G8+G10+G11</f>
        <v>53847</v>
      </c>
      <c r="H13" s="12">
        <f>H8+H10+H11</f>
        <v>53470</v>
      </c>
    </row>
    <row r="14" spans="1:8" ht="15" customHeight="1" x14ac:dyDescent="0.45">
      <c r="A14" s="1"/>
      <c r="B14" s="11" t="s">
        <v>23</v>
      </c>
      <c r="C14" s="13">
        <f>C12-C13</f>
        <v>6167</v>
      </c>
      <c r="D14" s="13">
        <f>D12-D13</f>
        <v>6079</v>
      </c>
      <c r="E14" s="5"/>
      <c r="F14" s="1"/>
      <c r="G14" s="1"/>
      <c r="H14" s="1"/>
    </row>
    <row r="15" spans="1:8" ht="6" customHeight="1" x14ac:dyDescent="0.45">
      <c r="A15" s="1"/>
      <c r="B15" s="1"/>
      <c r="C15" s="1"/>
      <c r="D15" s="1"/>
      <c r="E15" s="5"/>
      <c r="F15" s="7" t="s">
        <v>24</v>
      </c>
      <c r="G15" s="8"/>
      <c r="H15" s="8"/>
    </row>
    <row r="16" spans="1:8" ht="15.75" customHeight="1" x14ac:dyDescent="0.45">
      <c r="A16" s="1"/>
      <c r="B16" s="7" t="s">
        <v>25</v>
      </c>
      <c r="C16" s="8"/>
      <c r="D16" s="8"/>
      <c r="E16" s="5"/>
      <c r="F16" s="9" t="s">
        <v>26</v>
      </c>
      <c r="G16" s="10">
        <v>2118</v>
      </c>
      <c r="H16" s="10">
        <v>2118</v>
      </c>
    </row>
    <row r="17" spans="1:8" ht="15" customHeight="1" x14ac:dyDescent="0.45">
      <c r="A17" s="1"/>
      <c r="B17" s="9" t="s">
        <v>27</v>
      </c>
      <c r="C17" s="10">
        <v>7293</v>
      </c>
      <c r="D17" s="10">
        <v>7301</v>
      </c>
      <c r="E17" s="5"/>
      <c r="F17" s="9" t="s">
        <v>28</v>
      </c>
      <c r="G17" s="10">
        <v>30063</v>
      </c>
      <c r="H17" s="10">
        <v>26844</v>
      </c>
    </row>
    <row r="18" spans="1:8" ht="15" customHeight="1" x14ac:dyDescent="0.45">
      <c r="A18" s="1"/>
      <c r="B18" s="9" t="s">
        <v>29</v>
      </c>
      <c r="C18" s="14">
        <f>G20-C9-C14-C17</f>
        <v>44367</v>
      </c>
      <c r="D18" s="14">
        <f>H20-D9-D14-D17</f>
        <v>39564</v>
      </c>
      <c r="E18" s="5"/>
      <c r="F18" s="11" t="s">
        <v>30</v>
      </c>
      <c r="G18" s="12">
        <f>G16+G17</f>
        <v>32181</v>
      </c>
      <c r="H18" s="12">
        <f>H16+H17</f>
        <v>28962</v>
      </c>
    </row>
    <row r="19" spans="1:8" ht="6" customHeight="1" x14ac:dyDescent="0.45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45">
      <c r="A20" s="1"/>
      <c r="B20" s="15" t="s">
        <v>31</v>
      </c>
      <c r="C20" s="16">
        <f>C9+C14+C17+C18</f>
        <v>86028</v>
      </c>
      <c r="D20" s="16">
        <f>D9+D14+D17+D18</f>
        <v>82432</v>
      </c>
      <c r="E20" s="5"/>
      <c r="F20" s="15" t="s">
        <v>32</v>
      </c>
      <c r="G20" s="16">
        <f>G13+G18</f>
        <v>86028</v>
      </c>
      <c r="H20" s="16">
        <f>H13+H18</f>
        <v>82432</v>
      </c>
    </row>
    <row r="21" spans="1:8" ht="16.5" x14ac:dyDescent="0.45">
      <c r="A21" s="1"/>
      <c r="B21" s="17" t="s">
        <v>33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45">
      <c r="A22" s="1"/>
      <c r="B22" s="19" t="s">
        <v>34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6" activePane="bottomRight" state="frozen"/>
      <selection pane="topRight"/>
      <selection pane="bottomLeft"/>
      <selection pane="bottomRight" activeCell="C14" sqref="C14"/>
    </sheetView>
  </sheetViews>
  <sheetFormatPr defaultColWidth="8.6328125" defaultRowHeight="14.5" x14ac:dyDescent="0.35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45">
      <c r="A1" s="1"/>
      <c r="B1" s="2" t="s">
        <v>35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37</v>
      </c>
    </row>
    <row r="3" spans="1:4" ht="12" customHeight="1" x14ac:dyDescent="0.45">
      <c r="A3" s="1"/>
      <c r="B3" s="21" t="s">
        <v>5</v>
      </c>
      <c r="C3" s="1"/>
      <c r="D3" s="1"/>
    </row>
    <row r="4" spans="1:4" ht="15" customHeight="1" x14ac:dyDescent="0.45">
      <c r="A4" s="1"/>
      <c r="B4" s="9" t="s">
        <v>38</v>
      </c>
      <c r="C4" s="22">
        <v>64809</v>
      </c>
      <c r="D4" s="23">
        <f>IF(C$4=0,0,C4/C$4)</f>
        <v>1</v>
      </c>
    </row>
    <row r="5" spans="1:4" ht="15" customHeight="1" x14ac:dyDescent="0.45">
      <c r="A5" s="1"/>
      <c r="B5" s="9" t="s">
        <v>39</v>
      </c>
      <c r="C5" s="22">
        <v>43244</v>
      </c>
      <c r="D5" s="23">
        <f>IF(C$4=0,0,C5/C$4)</f>
        <v>0.66725300498387574</v>
      </c>
    </row>
    <row r="6" spans="1:4" ht="15" customHeight="1" x14ac:dyDescent="0.45">
      <c r="A6" s="1"/>
      <c r="B6" s="9" t="s">
        <v>40</v>
      </c>
      <c r="C6" s="24">
        <f>C4-C5</f>
        <v>21565</v>
      </c>
      <c r="D6" s="23">
        <f>IF(C$4=0,0,C6/C$4)</f>
        <v>0.33274699501612431</v>
      </c>
    </row>
    <row r="7" spans="1:4" ht="15" customHeight="1" x14ac:dyDescent="0.45">
      <c r="A7" s="1"/>
      <c r="B7" s="9" t="s">
        <v>41</v>
      </c>
      <c r="C7" s="22">
        <v>1413</v>
      </c>
      <c r="D7" s="25">
        <v>2.18025274267463E-2</v>
      </c>
    </row>
    <row r="8" spans="1:4" ht="15" customHeight="1" x14ac:dyDescent="0.45">
      <c r="A8" s="1"/>
      <c r="B8" s="11" t="s">
        <v>42</v>
      </c>
      <c r="C8" s="26">
        <v>14187</v>
      </c>
      <c r="D8" s="23">
        <f>IF(C$4=0,0,C8/C$4)</f>
        <v>0.21890478174327641</v>
      </c>
    </row>
    <row r="9" spans="1:4" ht="6" customHeight="1" x14ac:dyDescent="0.45">
      <c r="A9" s="1"/>
      <c r="B9" s="1"/>
      <c r="C9" s="1"/>
      <c r="D9" s="27">
        <f>IF(C$4=0,0,C9/C$4)</f>
        <v>0</v>
      </c>
    </row>
    <row r="10" spans="1:4" ht="15" customHeight="1" x14ac:dyDescent="0.45">
      <c r="A10" s="1"/>
      <c r="B10" s="9" t="s">
        <v>43</v>
      </c>
      <c r="C10" s="22">
        <v>2116</v>
      </c>
      <c r="D10" s="23">
        <f>IF(C$4=0,0,C10/C$4)</f>
        <v>3.264978629511333E-2</v>
      </c>
    </row>
    <row r="11" spans="1:4" ht="15" customHeight="1" x14ac:dyDescent="0.45">
      <c r="A11" s="1"/>
      <c r="B11" s="9" t="s">
        <v>44</v>
      </c>
      <c r="C11" s="22">
        <v>1713</v>
      </c>
      <c r="D11" s="25">
        <v>2.64315141415544E-2</v>
      </c>
    </row>
    <row r="12" spans="1:4" ht="15" customHeight="1" x14ac:dyDescent="0.45">
      <c r="A12" s="1"/>
      <c r="B12" s="11" t="s">
        <v>45</v>
      </c>
      <c r="C12" s="24">
        <f>C6-C8-C9-C10</f>
        <v>5262</v>
      </c>
      <c r="D12" s="23">
        <f>IF(C$4=0,0,C12/C$4)</f>
        <v>8.1192426977734572E-2</v>
      </c>
    </row>
    <row r="13" spans="1:4" ht="6" customHeight="1" x14ac:dyDescent="0.45">
      <c r="A13" s="1"/>
      <c r="B13" s="1"/>
      <c r="C13" s="1"/>
      <c r="D13" s="27">
        <f>IF(C$4=0,0,C13/C$4)</f>
        <v>0</v>
      </c>
    </row>
    <row r="14" spans="1:4" ht="15" customHeight="1" x14ac:dyDescent="0.45">
      <c r="A14" s="1"/>
      <c r="B14" s="9" t="s">
        <v>46</v>
      </c>
      <c r="C14" s="22">
        <v>2944</v>
      </c>
      <c r="D14" s="25">
        <v>4.5425789627983798E-2</v>
      </c>
    </row>
    <row r="15" spans="1:4" ht="15" customHeight="1" x14ac:dyDescent="0.45">
      <c r="A15" s="1"/>
      <c r="B15" s="11" t="s">
        <v>47</v>
      </c>
      <c r="C15" s="24">
        <f>C12-C13</f>
        <v>5262</v>
      </c>
      <c r="D15" s="23">
        <f>IF(C$4=0,0,C15/C$4)</f>
        <v>8.1192426977734572E-2</v>
      </c>
    </row>
    <row r="16" spans="1:4" ht="6" customHeight="1" x14ac:dyDescent="0.45">
      <c r="A16" s="1"/>
      <c r="B16" s="1"/>
      <c r="C16" s="1"/>
      <c r="D16" s="27">
        <f>IF(C$4=0,0,C16/C$4)</f>
        <v>0</v>
      </c>
    </row>
    <row r="17" spans="1:4" ht="15.75" customHeight="1" x14ac:dyDescent="0.45">
      <c r="A17" s="1"/>
      <c r="B17" s="7" t="s">
        <v>48</v>
      </c>
      <c r="C17" s="28">
        <f>C15-C16</f>
        <v>5262</v>
      </c>
      <c r="D17" s="27">
        <f>IF(C$4=0,0,C17/C$4)</f>
        <v>8.1192426977734572E-2</v>
      </c>
    </row>
    <row r="18" spans="1:4" ht="15" customHeight="1" x14ac:dyDescent="0.45">
      <c r="A18" s="1"/>
      <c r="B18" s="9" t="s">
        <v>49</v>
      </c>
      <c r="C18" s="22">
        <v>2736</v>
      </c>
      <c r="D18" s="23">
        <f>IF(C$4=0,0,C18/C$4)</f>
        <v>4.221635883905013E-2</v>
      </c>
    </row>
    <row r="19" spans="1:4" ht="15" customHeight="1" x14ac:dyDescent="0.45">
      <c r="A19" s="1"/>
      <c r="B19" s="9" t="s">
        <v>50</v>
      </c>
      <c r="C19" s="24">
        <f>C17-C18</f>
        <v>2526</v>
      </c>
      <c r="D19" s="23">
        <f>IF(C$4=0,0,C19/C$4)</f>
        <v>3.8976068138684442E-2</v>
      </c>
    </row>
    <row r="20" spans="1:4" ht="16.5" x14ac:dyDescent="0.45">
      <c r="A20" s="1"/>
      <c r="B20" s="1"/>
      <c r="C20" s="1"/>
      <c r="D20" s="1"/>
    </row>
    <row r="21" spans="1:4" ht="15" customHeight="1" x14ac:dyDescent="0.45">
      <c r="A21" s="1"/>
      <c r="B21" s="21" t="s">
        <v>34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12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45">
      <c r="A1" s="1"/>
      <c r="B1" s="2" t="s">
        <v>51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52</v>
      </c>
    </row>
    <row r="3" spans="1:4" ht="12" customHeight="1" x14ac:dyDescent="0.45">
      <c r="A3" s="1"/>
      <c r="B3" s="21" t="s">
        <v>5</v>
      </c>
      <c r="C3" s="1"/>
      <c r="D3" s="1"/>
    </row>
    <row r="4" spans="1:4" ht="15.75" customHeight="1" x14ac:dyDescent="0.45">
      <c r="A4" s="1"/>
      <c r="B4" s="7" t="s">
        <v>53</v>
      </c>
      <c r="C4" s="8"/>
      <c r="D4" s="8"/>
    </row>
    <row r="5" spans="1:4" ht="15" customHeight="1" x14ac:dyDescent="0.45">
      <c r="A5" s="1"/>
      <c r="B5" s="9" t="s">
        <v>47</v>
      </c>
      <c r="C5" s="22">
        <v>11646</v>
      </c>
      <c r="D5" s="29" t="s">
        <v>54</v>
      </c>
    </row>
    <row r="6" spans="1:4" ht="15" customHeight="1" x14ac:dyDescent="0.45">
      <c r="A6" s="1"/>
      <c r="B6" s="9" t="s">
        <v>55</v>
      </c>
      <c r="C6" s="22">
        <v>1413</v>
      </c>
      <c r="D6" s="29" t="s">
        <v>54</v>
      </c>
    </row>
    <row r="7" spans="1:4" ht="15" customHeight="1" x14ac:dyDescent="0.45">
      <c r="A7" s="1"/>
      <c r="B7" s="9" t="s">
        <v>56</v>
      </c>
      <c r="C7" s="22"/>
      <c r="D7" s="29"/>
    </row>
    <row r="8" spans="1:4" ht="15" customHeight="1" x14ac:dyDescent="0.45">
      <c r="A8" s="1"/>
      <c r="B8" s="9" t="s">
        <v>57</v>
      </c>
      <c r="C8" s="22">
        <v>-128</v>
      </c>
      <c r="D8" s="29" t="s">
        <v>58</v>
      </c>
    </row>
    <row r="9" spans="1:4" ht="15" customHeight="1" x14ac:dyDescent="0.45">
      <c r="A9" s="1"/>
      <c r="B9" s="9" t="s">
        <v>59</v>
      </c>
      <c r="C9" s="22">
        <v>1217</v>
      </c>
      <c r="D9" s="29" t="s">
        <v>58</v>
      </c>
    </row>
    <row r="10" spans="1:4" ht="15" customHeight="1" x14ac:dyDescent="0.45">
      <c r="A10" s="1"/>
      <c r="B10" s="9" t="s">
        <v>60</v>
      </c>
      <c r="C10" s="22">
        <v>-135</v>
      </c>
      <c r="D10" s="29" t="s">
        <v>58</v>
      </c>
    </row>
    <row r="11" spans="1:4" ht="15" customHeight="1" x14ac:dyDescent="0.45">
      <c r="A11" s="1"/>
      <c r="B11" s="9" t="s">
        <v>61</v>
      </c>
      <c r="C11" s="22">
        <v>-144</v>
      </c>
      <c r="D11" s="29" t="s">
        <v>58</v>
      </c>
    </row>
    <row r="12" spans="1:4" ht="15" customHeight="1" x14ac:dyDescent="0.45">
      <c r="A12" s="1"/>
      <c r="B12" s="9" t="s">
        <v>62</v>
      </c>
      <c r="C12" s="22">
        <v>-149</v>
      </c>
      <c r="D12" s="29" t="s">
        <v>58</v>
      </c>
    </row>
    <row r="13" spans="1:4" ht="15" customHeight="1" x14ac:dyDescent="0.45">
      <c r="A13" s="1"/>
      <c r="B13" s="11" t="s">
        <v>63</v>
      </c>
      <c r="C13" s="24">
        <f>SUM(C8:C12)</f>
        <v>661</v>
      </c>
      <c r="D13" s="29"/>
    </row>
    <row r="14" spans="1:4" ht="15" customHeight="1" x14ac:dyDescent="0.45">
      <c r="A14" s="1"/>
      <c r="B14" s="11" t="s">
        <v>64</v>
      </c>
      <c r="C14" s="24">
        <f>C5+C6+C13</f>
        <v>13720</v>
      </c>
      <c r="D14" s="29"/>
    </row>
    <row r="15" spans="1:4" ht="6" customHeight="1" x14ac:dyDescent="0.45">
      <c r="A15" s="1"/>
      <c r="B15" s="1"/>
      <c r="C15" s="1"/>
      <c r="D15" s="1"/>
    </row>
    <row r="16" spans="1:4" ht="15.75" customHeight="1" x14ac:dyDescent="0.45">
      <c r="A16" s="1"/>
      <c r="B16" s="7" t="s">
        <v>65</v>
      </c>
      <c r="C16" s="8"/>
      <c r="D16" s="8"/>
    </row>
    <row r="17" spans="1:4" ht="15" customHeight="1" x14ac:dyDescent="0.45">
      <c r="A17" s="1"/>
      <c r="B17" s="9" t="s">
        <v>66</v>
      </c>
      <c r="C17" s="22">
        <v>-1702</v>
      </c>
      <c r="D17" s="29"/>
    </row>
    <row r="18" spans="1:4" ht="15" customHeight="1" x14ac:dyDescent="0.45">
      <c r="A18" s="1"/>
      <c r="B18" s="9" t="s">
        <v>67</v>
      </c>
      <c r="C18" s="22">
        <v>298</v>
      </c>
      <c r="D18" s="29"/>
    </row>
    <row r="19" spans="1:4" ht="15" customHeight="1" x14ac:dyDescent="0.45">
      <c r="A19" s="1"/>
      <c r="B19" s="9" t="s">
        <v>68</v>
      </c>
      <c r="C19" s="22">
        <v>-782</v>
      </c>
      <c r="D19" s="29"/>
    </row>
    <row r="20" spans="1:4" ht="15" customHeight="1" x14ac:dyDescent="0.45">
      <c r="A20" s="1"/>
      <c r="B20" s="11" t="s">
        <v>69</v>
      </c>
      <c r="C20" s="24">
        <f>SUM(C17:C19)</f>
        <v>-2186</v>
      </c>
      <c r="D20" s="29"/>
    </row>
    <row r="21" spans="1:4" ht="6" customHeight="1" x14ac:dyDescent="0.45">
      <c r="A21" s="1"/>
      <c r="B21" s="1"/>
      <c r="C21" s="1"/>
      <c r="D21" s="1"/>
    </row>
    <row r="22" spans="1:4" ht="15.75" customHeight="1" x14ac:dyDescent="0.45">
      <c r="A22" s="1"/>
      <c r="B22" s="7" t="s">
        <v>70</v>
      </c>
      <c r="C22" s="8"/>
      <c r="D22" s="8"/>
    </row>
    <row r="23" spans="1:4" ht="15" customHeight="1" x14ac:dyDescent="0.45">
      <c r="A23" s="1"/>
      <c r="B23" s="9" t="s">
        <v>71</v>
      </c>
      <c r="C23" s="22">
        <v>689</v>
      </c>
      <c r="D23" s="29"/>
    </row>
    <row r="24" spans="1:4" ht="15" customHeight="1" x14ac:dyDescent="0.45">
      <c r="A24" s="1"/>
      <c r="B24" s="9" t="s">
        <v>72</v>
      </c>
      <c r="C24" s="22">
        <v>-61</v>
      </c>
      <c r="D24" s="29"/>
    </row>
    <row r="25" spans="1:4" ht="15" customHeight="1" x14ac:dyDescent="0.45">
      <c r="A25" s="1"/>
      <c r="B25" s="9" t="s">
        <v>73</v>
      </c>
      <c r="C25" s="22">
        <v>-2736</v>
      </c>
      <c r="D25" s="29"/>
    </row>
    <row r="26" spans="1:4" ht="15" customHeight="1" x14ac:dyDescent="0.45">
      <c r="A26" s="1"/>
      <c r="B26" s="9" t="s">
        <v>74</v>
      </c>
      <c r="C26" s="22">
        <v>-7839</v>
      </c>
      <c r="D26" s="29"/>
    </row>
    <row r="27" spans="1:4" ht="15" customHeight="1" x14ac:dyDescent="0.45">
      <c r="A27" s="1"/>
      <c r="B27" s="9" t="s">
        <v>75</v>
      </c>
      <c r="C27" s="22">
        <v>-327</v>
      </c>
      <c r="D27" s="29"/>
    </row>
    <row r="28" spans="1:4" ht="15" customHeight="1" x14ac:dyDescent="0.45">
      <c r="A28" s="1"/>
      <c r="B28" s="11" t="s">
        <v>76</v>
      </c>
      <c r="C28" s="24">
        <f>SUM(C23:C27)</f>
        <v>-10274</v>
      </c>
      <c r="D28" s="29"/>
    </row>
    <row r="29" spans="1:4" ht="6" customHeight="1" x14ac:dyDescent="0.45">
      <c r="A29" s="1"/>
      <c r="B29" s="1"/>
      <c r="C29" s="1"/>
      <c r="D29" s="1"/>
    </row>
    <row r="30" spans="1:4" ht="15" customHeight="1" x14ac:dyDescent="0.45">
      <c r="A30" s="1"/>
      <c r="B30" s="11" t="s">
        <v>77</v>
      </c>
      <c r="C30" s="24">
        <f>C14+C20+C28</f>
        <v>1260</v>
      </c>
      <c r="D30" s="29"/>
    </row>
    <row r="31" spans="1:4" ht="16.5" x14ac:dyDescent="0.45">
      <c r="A31" s="1"/>
      <c r="B31" s="1"/>
      <c r="C31" s="1"/>
      <c r="D31" s="1"/>
    </row>
    <row r="32" spans="1:4" ht="15" customHeight="1" x14ac:dyDescent="0.45">
      <c r="A32" s="1"/>
      <c r="B32" s="21" t="s">
        <v>34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3" activePane="bottomRight" state="frozen"/>
      <selection pane="topRight"/>
      <selection pane="bottomLeft"/>
      <selection pane="bottomRight" activeCell="C19" sqref="C19"/>
    </sheetView>
  </sheetViews>
  <sheetFormatPr defaultColWidth="8.6328125" defaultRowHeight="14.5" x14ac:dyDescent="0.35"/>
  <cols>
    <col min="1" max="1" width="2" customWidth="1"/>
    <col min="2" max="2" width="38" customWidth="1"/>
    <col min="3" max="3" width="16" customWidth="1"/>
    <col min="4" max="4" width="52" customWidth="1"/>
    <col min="5" max="5" width="28" customWidth="1"/>
  </cols>
  <sheetData>
    <row r="1" spans="1:5" ht="21.75" customHeight="1" x14ac:dyDescent="0.45">
      <c r="A1" s="1"/>
      <c r="B1" s="2" t="s">
        <v>78</v>
      </c>
      <c r="C1" s="1"/>
      <c r="D1" s="1"/>
      <c r="E1" s="1"/>
    </row>
    <row r="2" spans="1:5" ht="18" customHeight="1" x14ac:dyDescent="0.45">
      <c r="A2" s="1"/>
      <c r="B2" s="20" t="s">
        <v>79</v>
      </c>
      <c r="C2" s="20" t="s">
        <v>80</v>
      </c>
      <c r="D2" s="20" t="s">
        <v>81</v>
      </c>
      <c r="E2" s="20" t="s">
        <v>82</v>
      </c>
    </row>
    <row r="3" spans="1:5" ht="15" customHeight="1" x14ac:dyDescent="0.45">
      <c r="A3" s="1"/>
      <c r="B3" s="9" t="s">
        <v>83</v>
      </c>
      <c r="C3" s="30">
        <v>2024</v>
      </c>
      <c r="D3" s="31"/>
      <c r="E3" s="32" t="s">
        <v>84</v>
      </c>
    </row>
    <row r="4" spans="1:5" ht="15" customHeight="1" x14ac:dyDescent="0.45">
      <c r="A4" s="1"/>
      <c r="B4" s="9" t="s">
        <v>85</v>
      </c>
      <c r="C4" s="30">
        <v>2023</v>
      </c>
      <c r="D4" s="31" t="s">
        <v>86</v>
      </c>
      <c r="E4" s="32" t="s">
        <v>87</v>
      </c>
    </row>
    <row r="5" spans="1:5" ht="15" customHeight="1" x14ac:dyDescent="0.45">
      <c r="A5" s="1"/>
      <c r="B5" s="9" t="s">
        <v>88</v>
      </c>
      <c r="C5" s="30">
        <v>349.58</v>
      </c>
      <c r="D5" s="31"/>
      <c r="E5" s="32" t="s">
        <v>89</v>
      </c>
    </row>
    <row r="6" spans="1:5" ht="15" customHeight="1" x14ac:dyDescent="0.45">
      <c r="A6" s="1"/>
      <c r="B6" s="9" t="s">
        <v>90</v>
      </c>
      <c r="C6" s="30">
        <v>492</v>
      </c>
      <c r="D6" s="31"/>
      <c r="E6" s="32" t="s">
        <v>91</v>
      </c>
    </row>
    <row r="7" spans="1:5" ht="15" customHeight="1" x14ac:dyDescent="0.45">
      <c r="A7" s="1"/>
      <c r="B7" s="9" t="s">
        <v>92</v>
      </c>
      <c r="C7" s="30">
        <v>7.9000000000000001E-2</v>
      </c>
      <c r="D7" s="31"/>
      <c r="E7" s="32" t="s">
        <v>93</v>
      </c>
    </row>
    <row r="8" spans="1:5" ht="15" customHeight="1" x14ac:dyDescent="0.45">
      <c r="A8" s="1"/>
      <c r="B8" s="9" t="s">
        <v>94</v>
      </c>
      <c r="C8" s="30">
        <v>0.214</v>
      </c>
      <c r="D8" s="31"/>
      <c r="E8" s="32" t="s">
        <v>95</v>
      </c>
    </row>
    <row r="9" spans="1:5" ht="15" customHeight="1" x14ac:dyDescent="0.45">
      <c r="A9" s="1"/>
      <c r="B9" s="9" t="s">
        <v>96</v>
      </c>
      <c r="C9" s="33">
        <f>C5*C6</f>
        <v>171993.36</v>
      </c>
      <c r="D9" s="31" t="s">
        <v>97</v>
      </c>
      <c r="E9" s="32" t="s">
        <v>98</v>
      </c>
    </row>
    <row r="10" spans="1:5" ht="6" customHeight="1" x14ac:dyDescent="0.45">
      <c r="A10" s="1"/>
      <c r="B10" s="1"/>
      <c r="C10" s="1"/>
      <c r="D10" s="1"/>
      <c r="E10" s="1"/>
    </row>
    <row r="11" spans="1:5" ht="15.75" customHeight="1" x14ac:dyDescent="0.45">
      <c r="A11" s="1"/>
      <c r="B11" s="7" t="s">
        <v>99</v>
      </c>
      <c r="C11" s="8"/>
      <c r="D11" s="8"/>
      <c r="E11" s="8"/>
    </row>
    <row r="12" spans="1:5" ht="15" customHeight="1" x14ac:dyDescent="0.45">
      <c r="A12" s="1"/>
      <c r="B12" s="9" t="s">
        <v>100</v>
      </c>
      <c r="C12" s="24">
        <f>'Balance Sheet'!H18</f>
        <v>28962</v>
      </c>
      <c r="D12" s="31" t="s">
        <v>101</v>
      </c>
      <c r="E12" s="32" t="s">
        <v>102</v>
      </c>
    </row>
    <row r="13" spans="1:5" ht="15" customHeight="1" x14ac:dyDescent="0.45">
      <c r="A13" s="1"/>
      <c r="B13" s="9" t="s">
        <v>103</v>
      </c>
      <c r="C13" s="24">
        <f>'Balance Sheet'!D7</f>
        <v>13693</v>
      </c>
      <c r="D13" s="31" t="s">
        <v>104</v>
      </c>
      <c r="E13" s="32" t="s">
        <v>105</v>
      </c>
    </row>
    <row r="14" spans="1:5" ht="15" customHeight="1" x14ac:dyDescent="0.45">
      <c r="A14" s="1"/>
      <c r="B14" s="9" t="s">
        <v>106</v>
      </c>
      <c r="C14" s="24">
        <f>'Balance Sheet'!D6</f>
        <v>8014</v>
      </c>
      <c r="D14" s="31" t="s">
        <v>107</v>
      </c>
      <c r="E14" s="32" t="s">
        <v>108</v>
      </c>
    </row>
    <row r="15" spans="1:5" ht="15" customHeight="1" x14ac:dyDescent="0.45">
      <c r="A15" s="1"/>
      <c r="B15" s="9" t="s">
        <v>109</v>
      </c>
      <c r="C15" s="24">
        <f>'Balance Sheet'!D20</f>
        <v>82432</v>
      </c>
      <c r="D15" s="31" t="s">
        <v>110</v>
      </c>
      <c r="E15" s="32" t="s">
        <v>111</v>
      </c>
    </row>
    <row r="16" spans="1:5" ht="15" customHeight="1" x14ac:dyDescent="0.45">
      <c r="A16" s="1"/>
      <c r="B16" s="9" t="s">
        <v>112</v>
      </c>
      <c r="C16" s="24">
        <f>'Balance Sheet'!H10+'Balance Sheet'!H18</f>
        <v>54069</v>
      </c>
      <c r="D16" s="31" t="s">
        <v>113</v>
      </c>
      <c r="E16" s="32" t="s">
        <v>114</v>
      </c>
    </row>
    <row r="17" spans="1:5" ht="6" customHeight="1" x14ac:dyDescent="0.45">
      <c r="A17" s="1"/>
      <c r="B17" s="1"/>
      <c r="C17" s="1"/>
      <c r="D17" s="1"/>
      <c r="E17" s="1"/>
    </row>
    <row r="18" spans="1:5" ht="15.75" customHeight="1" x14ac:dyDescent="0.45">
      <c r="A18" s="1"/>
      <c r="B18" s="7" t="s">
        <v>115</v>
      </c>
      <c r="C18" s="8"/>
      <c r="D18" s="8"/>
      <c r="E18" s="8"/>
    </row>
    <row r="19" spans="1:5" ht="15" customHeight="1" x14ac:dyDescent="0.45">
      <c r="A19" s="1"/>
      <c r="B19" s="9" t="s">
        <v>116</v>
      </c>
      <c r="C19" s="34">
        <f>'Income Statement'!C17+(1-C8)*'Income Statement'!C13</f>
        <v>5262</v>
      </c>
      <c r="D19" s="31" t="s">
        <v>117</v>
      </c>
      <c r="E19" s="32" t="s">
        <v>118</v>
      </c>
    </row>
    <row r="20" spans="1:5" ht="15" customHeight="1" x14ac:dyDescent="0.45">
      <c r="A20" s="1"/>
      <c r="B20" s="9" t="s">
        <v>119</v>
      </c>
      <c r="C20" s="33">
        <f>'Income Statement'!C4/365</f>
        <v>177.55890410958904</v>
      </c>
      <c r="D20" s="31" t="s">
        <v>120</v>
      </c>
      <c r="E20" s="32" t="s">
        <v>121</v>
      </c>
    </row>
    <row r="21" spans="1:5" ht="15" customHeight="1" x14ac:dyDescent="0.45">
      <c r="A21" s="1"/>
      <c r="B21" s="9" t="s">
        <v>122</v>
      </c>
      <c r="C21" s="24">
        <f>'Balance Sheet'!G18</f>
        <v>32181</v>
      </c>
      <c r="D21" s="31" t="s">
        <v>123</v>
      </c>
      <c r="E21" s="32" t="s">
        <v>124</v>
      </c>
    </row>
    <row r="22" spans="1:5" ht="15" customHeight="1" x14ac:dyDescent="0.45">
      <c r="A22" s="1"/>
      <c r="B22" s="9" t="s">
        <v>125</v>
      </c>
      <c r="C22" s="24">
        <f>'Balance Sheet'!C5</f>
        <v>5728</v>
      </c>
      <c r="D22" s="31" t="s">
        <v>126</v>
      </c>
      <c r="E22" s="32" t="s">
        <v>127</v>
      </c>
    </row>
    <row r="23" spans="1:5" ht="15" customHeight="1" x14ac:dyDescent="0.45">
      <c r="A23" s="1"/>
      <c r="B23" s="9" t="s">
        <v>128</v>
      </c>
      <c r="C23" s="24">
        <f>'Balance Sheet'!C9</f>
        <v>28201</v>
      </c>
      <c r="D23" s="31" t="s">
        <v>129</v>
      </c>
      <c r="E23" s="32" t="s">
        <v>130</v>
      </c>
    </row>
    <row r="24" spans="1:5" ht="15" customHeight="1" x14ac:dyDescent="0.45">
      <c r="A24" s="1"/>
      <c r="B24" s="9" t="s">
        <v>131</v>
      </c>
      <c r="C24" s="24">
        <f>'Balance Sheet'!G8</f>
        <v>20075</v>
      </c>
      <c r="D24" s="31" t="s">
        <v>132</v>
      </c>
      <c r="E24" s="32" t="s">
        <v>133</v>
      </c>
    </row>
    <row r="25" spans="1:5" ht="15" customHeight="1" x14ac:dyDescent="0.45">
      <c r="A25" s="1"/>
      <c r="B25" s="9" t="s">
        <v>134</v>
      </c>
      <c r="C25" s="33">
        <f>'Income Statement'!C5/365</f>
        <v>118.47671232876712</v>
      </c>
      <c r="D25" s="31" t="s">
        <v>135</v>
      </c>
      <c r="E25" s="32" t="s">
        <v>136</v>
      </c>
    </row>
    <row r="26" spans="1:5" ht="15" customHeight="1" x14ac:dyDescent="0.45">
      <c r="A26" s="1"/>
      <c r="B26" s="9" t="s">
        <v>137</v>
      </c>
      <c r="C26" s="24">
        <f>'Balance Sheet'!G10</f>
        <v>25046</v>
      </c>
      <c r="D26" s="31" t="s">
        <v>138</v>
      </c>
      <c r="E26" s="32" t="s">
        <v>139</v>
      </c>
    </row>
    <row r="27" spans="1:5" ht="15" customHeight="1" x14ac:dyDescent="0.45">
      <c r="A27" s="1"/>
      <c r="B27" s="9" t="s">
        <v>140</v>
      </c>
      <c r="C27" s="24">
        <f>'Balance Sheet'!C9-'Balance Sheet'!G8</f>
        <v>8126</v>
      </c>
      <c r="D27" s="31" t="s">
        <v>141</v>
      </c>
      <c r="E27" s="32" t="s">
        <v>142</v>
      </c>
    </row>
    <row r="28" spans="1:5" ht="15" customHeight="1" x14ac:dyDescent="0.45">
      <c r="A28" s="1"/>
      <c r="B28" s="9" t="s">
        <v>143</v>
      </c>
      <c r="C28" s="24">
        <f>'Balance Sheet'!C20</f>
        <v>86028</v>
      </c>
      <c r="D28" s="31" t="s">
        <v>144</v>
      </c>
      <c r="E28" s="32" t="s">
        <v>145</v>
      </c>
    </row>
    <row r="29" spans="1:5" ht="15" customHeight="1" x14ac:dyDescent="0.45">
      <c r="A29" s="1"/>
      <c r="B29" s="9" t="s">
        <v>146</v>
      </c>
      <c r="C29" s="24">
        <f>'Balance Sheet'!G10+'Balance Sheet'!G18</f>
        <v>57227</v>
      </c>
      <c r="D29" s="31" t="s">
        <v>147</v>
      </c>
      <c r="E29" s="32" t="s">
        <v>148</v>
      </c>
    </row>
    <row r="30" spans="1:5" ht="15" customHeight="1" x14ac:dyDescent="0.45">
      <c r="A30" s="1"/>
      <c r="B30" s="9" t="s">
        <v>149</v>
      </c>
      <c r="C30" s="24">
        <f>'Balance Sheet'!G13</f>
        <v>53847</v>
      </c>
      <c r="D30" s="31" t="s">
        <v>150</v>
      </c>
      <c r="E30" s="32" t="s">
        <v>151</v>
      </c>
    </row>
    <row r="31" spans="1:5" ht="6" customHeight="1" x14ac:dyDescent="0.45">
      <c r="A31" s="1"/>
      <c r="B31" s="1"/>
      <c r="C31" s="1"/>
      <c r="D31" s="1"/>
      <c r="E31" s="1"/>
    </row>
    <row r="32" spans="1:5" ht="15.75" customHeight="1" x14ac:dyDescent="0.45">
      <c r="A32" s="1"/>
      <c r="B32" s="7" t="s">
        <v>152</v>
      </c>
      <c r="C32" s="8"/>
      <c r="D32" s="8"/>
      <c r="E32" s="8"/>
    </row>
    <row r="33" spans="1:5" ht="15" customHeight="1" x14ac:dyDescent="0.45">
      <c r="A33" s="1"/>
      <c r="B33" s="9" t="s">
        <v>153</v>
      </c>
      <c r="C33" s="24">
        <f>AVERAGE(C12,C21)</f>
        <v>30571.5</v>
      </c>
      <c r="D33" s="31" t="s">
        <v>154</v>
      </c>
      <c r="E33" s="32" t="s">
        <v>155</v>
      </c>
    </row>
    <row r="34" spans="1:5" ht="15" customHeight="1" x14ac:dyDescent="0.45">
      <c r="A34" s="1"/>
      <c r="B34" s="9" t="s">
        <v>156</v>
      </c>
      <c r="C34" s="24">
        <f>AVERAGE(C15,C28)</f>
        <v>84230</v>
      </c>
      <c r="D34" s="31" t="s">
        <v>157</v>
      </c>
      <c r="E34" s="32" t="s">
        <v>158</v>
      </c>
    </row>
    <row r="35" spans="1:5" ht="15" customHeight="1" x14ac:dyDescent="0.45">
      <c r="A35" s="1"/>
      <c r="B35" s="9" t="s">
        <v>159</v>
      </c>
      <c r="C35" s="24">
        <f>AVERAGE(C16,C29)</f>
        <v>55648</v>
      </c>
      <c r="D35" s="31" t="s">
        <v>160</v>
      </c>
      <c r="E35" s="32" t="s">
        <v>161</v>
      </c>
    </row>
    <row r="36" spans="1:5" ht="15" customHeight="1" x14ac:dyDescent="0.45">
      <c r="A36" s="1"/>
      <c r="B36" s="9" t="s">
        <v>162</v>
      </c>
      <c r="C36" s="24">
        <f>C26+C21</f>
        <v>57227</v>
      </c>
      <c r="D36" s="31" t="s">
        <v>163</v>
      </c>
      <c r="E36" s="32" t="s">
        <v>164</v>
      </c>
    </row>
    <row r="37" spans="1:5" ht="6" customHeight="1" x14ac:dyDescent="0.45">
      <c r="A37" s="1"/>
      <c r="B37" s="1"/>
      <c r="C37" s="1"/>
      <c r="D37" s="1"/>
      <c r="E37" s="1"/>
    </row>
    <row r="38" spans="1:5" ht="6" customHeight="1" x14ac:dyDescent="0.45">
      <c r="A38" s="1"/>
      <c r="B38" s="1"/>
      <c r="C38" s="1"/>
      <c r="D38" s="1"/>
      <c r="E38" s="1"/>
    </row>
    <row r="39" spans="1:5" ht="18" customHeight="1" x14ac:dyDescent="0.45">
      <c r="A39" s="1"/>
      <c r="B39" s="20" t="s">
        <v>165</v>
      </c>
      <c r="C39" s="20" t="s">
        <v>166</v>
      </c>
      <c r="D39" s="20" t="s">
        <v>167</v>
      </c>
      <c r="E39" s="20" t="s">
        <v>82</v>
      </c>
    </row>
    <row r="40" spans="1:5" ht="15.75" customHeight="1" x14ac:dyDescent="0.45">
      <c r="A40" s="1"/>
      <c r="B40" s="7" t="s">
        <v>168</v>
      </c>
      <c r="C40" s="8"/>
      <c r="D40" s="8"/>
      <c r="E40" s="8"/>
    </row>
    <row r="41" spans="1:5" ht="15" customHeight="1" x14ac:dyDescent="0.45">
      <c r="A41" s="1"/>
      <c r="B41" s="9" t="s">
        <v>169</v>
      </c>
      <c r="C41" s="35">
        <f>market_capitalization-currentYear_equity</f>
        <v>139812.35999999999</v>
      </c>
      <c r="D41" s="31" t="s">
        <v>170</v>
      </c>
      <c r="E41" s="32"/>
    </row>
    <row r="42" spans="1:5" ht="15" customHeight="1" x14ac:dyDescent="0.45">
      <c r="A42" s="1"/>
      <c r="B42" s="9" t="s">
        <v>171</v>
      </c>
      <c r="C42" s="35">
        <f>market_capitalization/currentYear_equity</f>
        <v>5.3445623193810006</v>
      </c>
      <c r="D42" s="31" t="s">
        <v>172</v>
      </c>
      <c r="E42" s="32"/>
    </row>
    <row r="43" spans="1:5" ht="15" customHeight="1" x14ac:dyDescent="0.45">
      <c r="A43" s="1"/>
      <c r="B43" s="9" t="s">
        <v>173</v>
      </c>
      <c r="C43" s="35">
        <f>currentYear_after_tax_operating_income-( cost_capital*startYear_total_capitalization)</f>
        <v>990.54899999999998</v>
      </c>
      <c r="D43" s="31" t="s">
        <v>174</v>
      </c>
      <c r="E43" s="32"/>
    </row>
    <row r="44" spans="1:5" ht="6" customHeight="1" x14ac:dyDescent="0.45">
      <c r="A44" s="1"/>
      <c r="B44" s="1"/>
      <c r="C44" s="1"/>
      <c r="D44" s="1"/>
      <c r="E44" s="1"/>
    </row>
    <row r="45" spans="1:5" ht="15.75" customHeight="1" x14ac:dyDescent="0.45">
      <c r="A45" s="1"/>
      <c r="B45" s="7" t="s">
        <v>175</v>
      </c>
      <c r="C45" s="8"/>
      <c r="D45" s="8"/>
      <c r="E45" s="8"/>
    </row>
    <row r="46" spans="1:5" ht="15" customHeight="1" x14ac:dyDescent="0.45">
      <c r="A46" s="1"/>
      <c r="B46" s="9" t="s">
        <v>176</v>
      </c>
      <c r="C46" s="35">
        <f>currentYear_after_tax_operating_income/startYear_total_assets</f>
        <v>6.3834433229813664E-2</v>
      </c>
      <c r="D46" s="31" t="s">
        <v>177</v>
      </c>
      <c r="E46" s="32"/>
    </row>
    <row r="47" spans="1:5" ht="15" customHeight="1" x14ac:dyDescent="0.45">
      <c r="A47" s="1"/>
      <c r="B47" s="9" t="s">
        <v>178</v>
      </c>
      <c r="C47" s="35">
        <f>currentYear_after_tax_operating_income/startYear_total_capitalization</f>
        <v>9.7320090994839931E-2</v>
      </c>
      <c r="D47" s="31" t="s">
        <v>179</v>
      </c>
      <c r="E47" s="32"/>
    </row>
    <row r="48" spans="1:5" ht="15" customHeight="1" x14ac:dyDescent="0.45">
      <c r="A48" s="1"/>
      <c r="B48" s="9" t="s">
        <v>180</v>
      </c>
      <c r="C48" s="35">
        <f>startYear_total_assets</f>
        <v>82432</v>
      </c>
      <c r="D48" s="31" t="s">
        <v>181</v>
      </c>
      <c r="E48" s="32"/>
    </row>
    <row r="49" spans="1:5" ht="15" customHeight="1" x14ac:dyDescent="0.45">
      <c r="A49" s="1"/>
      <c r="B49" s="9" t="s">
        <v>182</v>
      </c>
      <c r="C49" s="35">
        <f>currentYear_after_tax_operating_income/avg_total_assets</f>
        <v>6.2471803395464799E-2</v>
      </c>
      <c r="D49" s="31" t="s">
        <v>183</v>
      </c>
      <c r="E49" s="32"/>
    </row>
    <row r="50" spans="1:5" ht="15" customHeight="1" x14ac:dyDescent="0.45">
      <c r="A50" s="1"/>
      <c r="B50" s="9" t="s">
        <v>184</v>
      </c>
      <c r="C50" s="35">
        <f>currentYear_after_tax_operating_income/avg_total_capitalization</f>
        <v>9.4558654399079928E-2</v>
      </c>
      <c r="D50" s="31" t="s">
        <v>185</v>
      </c>
      <c r="E50" s="32"/>
    </row>
    <row r="51" spans="1:5" ht="15" customHeight="1" x14ac:dyDescent="0.45">
      <c r="A51" s="1"/>
      <c r="B51" s="9" t="s">
        <v>186</v>
      </c>
      <c r="C51" s="35">
        <f>startYear_total_assets/avg_equity</f>
        <v>2.696367531851561</v>
      </c>
      <c r="D51" s="31" t="s">
        <v>187</v>
      </c>
      <c r="E51" s="32"/>
    </row>
    <row r="52" spans="1:5" ht="6" customHeight="1" x14ac:dyDescent="0.45">
      <c r="A52" s="1"/>
      <c r="B52" s="1"/>
      <c r="C52" s="1"/>
      <c r="D52" s="1"/>
      <c r="E52" s="1"/>
    </row>
    <row r="53" spans="1:5" ht="15.75" customHeight="1" x14ac:dyDescent="0.45">
      <c r="A53" s="1"/>
      <c r="B53" s="7" t="s">
        <v>188</v>
      </c>
      <c r="C53" s="8"/>
      <c r="D53" s="8"/>
      <c r="E53" s="8"/>
    </row>
    <row r="54" spans="1:5" ht="15" customHeight="1" x14ac:dyDescent="0.45">
      <c r="A54" s="1"/>
      <c r="B54" s="9" t="s">
        <v>189</v>
      </c>
      <c r="C54" s="35">
        <f>'Income Statement'!C4/startYear_total_assets</f>
        <v>0.78621166537267084</v>
      </c>
      <c r="D54" s="31" t="s">
        <v>190</v>
      </c>
      <c r="E54" s="32" t="s">
        <v>191</v>
      </c>
    </row>
    <row r="55" spans="1:5" ht="15" customHeight="1" x14ac:dyDescent="0.45">
      <c r="A55" s="1"/>
      <c r="B55" s="9" t="s">
        <v>192</v>
      </c>
      <c r="C55" s="35">
        <f>yearStart/startYear_receivables</f>
        <v>0.2524332418268031</v>
      </c>
      <c r="D55" s="31" t="s">
        <v>193</v>
      </c>
      <c r="E55" s="32"/>
    </row>
    <row r="56" spans="1:5" ht="15" customHeight="1" x14ac:dyDescent="0.45">
      <c r="A56" s="1"/>
      <c r="B56" s="9" t="s">
        <v>194</v>
      </c>
      <c r="C56" s="35">
        <f>startYear_receivables/currentYear_daily_sales_average</f>
        <v>45.134317764508019</v>
      </c>
      <c r="D56" s="31" t="s">
        <v>195</v>
      </c>
      <c r="E56" s="32"/>
    </row>
    <row r="57" spans="1:5" ht="15" customHeight="1" x14ac:dyDescent="0.45">
      <c r="A57" s="1"/>
      <c r="B57" s="9" t="s">
        <v>196</v>
      </c>
      <c r="C57" s="35">
        <f>share_price/startYear_inventory</f>
        <v>2.552983276126488E-2</v>
      </c>
      <c r="D57" s="31" t="s">
        <v>197</v>
      </c>
      <c r="E57" s="32"/>
    </row>
    <row r="58" spans="1:5" ht="15" customHeight="1" x14ac:dyDescent="0.45">
      <c r="A58" s="1"/>
      <c r="B58" s="9" t="s">
        <v>198</v>
      </c>
      <c r="C58" s="35">
        <f>startYear_inventory/currentYear_cost_goods_sold_daily</f>
        <v>115.57545555452779</v>
      </c>
      <c r="D58" s="31" t="s">
        <v>199</v>
      </c>
      <c r="E58" s="32"/>
    </row>
    <row r="59" spans="1:5" ht="15" customHeight="1" x14ac:dyDescent="0.45">
      <c r="A59" s="1"/>
      <c r="B59" s="9" t="s">
        <v>200</v>
      </c>
      <c r="C59" s="35">
        <f>startYear_total_assets/yearStart</f>
        <v>40.747404844290656</v>
      </c>
      <c r="D59" s="31" t="s">
        <v>201</v>
      </c>
      <c r="E59" s="32"/>
    </row>
    <row r="60" spans="1:5" ht="15" customHeight="1" x14ac:dyDescent="0.45">
      <c r="A60" s="1"/>
      <c r="B60" s="9" t="s">
        <v>202</v>
      </c>
      <c r="C60" s="35">
        <f>currentYear_after_tax_operating_income/yearStart</f>
        <v>2.601087493821058</v>
      </c>
      <c r="D60" s="31" t="s">
        <v>203</v>
      </c>
      <c r="E60" s="32" t="s">
        <v>204</v>
      </c>
    </row>
    <row r="61" spans="1:5" ht="6" customHeight="1" x14ac:dyDescent="0.45">
      <c r="A61" s="1"/>
      <c r="B61" s="1"/>
      <c r="C61" s="1"/>
      <c r="D61" s="1"/>
      <c r="E61" s="1"/>
    </row>
    <row r="62" spans="1:5" ht="15.75" customHeight="1" x14ac:dyDescent="0.45">
      <c r="A62" s="1"/>
      <c r="B62" s="7" t="s">
        <v>205</v>
      </c>
      <c r="C62" s="8"/>
      <c r="D62" s="8"/>
      <c r="E62" s="8"/>
    </row>
    <row r="63" spans="1:5" ht="15" customHeight="1" x14ac:dyDescent="0.45">
      <c r="A63" s="1"/>
      <c r="B63" s="9" t="s">
        <v>206</v>
      </c>
      <c r="C63" s="35">
        <f>currentYear_debt_long_term/(currentYear_debt_long_term+currentYear_equity)</f>
        <v>0.43766054484771172</v>
      </c>
      <c r="D63" s="31" t="s">
        <v>207</v>
      </c>
      <c r="E63" s="32"/>
    </row>
    <row r="64" spans="1:5" ht="15" customHeight="1" x14ac:dyDescent="0.45">
      <c r="A64" s="1"/>
      <c r="B64" s="9" t="s">
        <v>208</v>
      </c>
      <c r="C64" s="35">
        <f>currentYear_debt_long_term/currentYear_equity</f>
        <v>0.7782853236381716</v>
      </c>
      <c r="D64" s="31" t="s">
        <v>209</v>
      </c>
      <c r="E64" s="32"/>
    </row>
    <row r="65" spans="1:5" ht="15" customHeight="1" x14ac:dyDescent="0.45">
      <c r="A65" s="1"/>
      <c r="B65" s="9" t="s">
        <v>210</v>
      </c>
      <c r="C65">
        <f>currentYear_liabilities_total/currentYear_assets_total</f>
        <v>0.6259241177291115</v>
      </c>
      <c r="D65" s="31" t="s">
        <v>211</v>
      </c>
      <c r="E65" s="32"/>
    </row>
    <row r="66" spans="1:5" ht="15" customHeight="1" x14ac:dyDescent="0.45">
      <c r="A66" s="1"/>
      <c r="B66" s="9" t="s">
        <v>212</v>
      </c>
      <c r="C66" s="35">
        <f>tax_rate/'Income Statement'!C11</f>
        <v>1.2492702860478693E-4</v>
      </c>
      <c r="D66" s="31" t="s">
        <v>213</v>
      </c>
      <c r="E66" s="32"/>
    </row>
    <row r="67" spans="1:5" ht="15" customHeight="1" x14ac:dyDescent="0.45">
      <c r="A67" s="1"/>
      <c r="B67" s="9" t="s">
        <v>214</v>
      </c>
      <c r="C67" s="35">
        <f>(tax_rate+cost_capital)/'Income Statement'!C11</f>
        <v>1.7104495037945124E-4</v>
      </c>
      <c r="D67" s="31" t="s">
        <v>215</v>
      </c>
      <c r="E67" s="32"/>
    </row>
    <row r="68" spans="1:5" ht="15" customHeight="1" x14ac:dyDescent="0.45">
      <c r="A68" s="1"/>
      <c r="B68" s="9" t="s">
        <v>216</v>
      </c>
      <c r="C68" s="35">
        <f>startYear_total_assets/currentYear_after_tax_operating_income</f>
        <v>15.665526415811479</v>
      </c>
      <c r="D68" s="31" t="s">
        <v>217</v>
      </c>
      <c r="E68" s="32" t="s">
        <v>218</v>
      </c>
    </row>
    <row r="69" spans="1:5" ht="15" customHeight="1" x14ac:dyDescent="0.45">
      <c r="A69" s="1"/>
      <c r="B69" s="9" t="s">
        <v>219</v>
      </c>
      <c r="C69" s="35">
        <f>currentYear_assets_total/currentYear_equity</f>
        <v>2.6732544047730027</v>
      </c>
      <c r="D69" s="31" t="s">
        <v>220</v>
      </c>
      <c r="E69" s="32" t="s">
        <v>221</v>
      </c>
    </row>
    <row r="70" spans="1:5" ht="6" customHeight="1" x14ac:dyDescent="0.45">
      <c r="A70" s="1"/>
      <c r="B70" s="1"/>
      <c r="C70" s="1"/>
      <c r="D70" s="1"/>
      <c r="E70" s="1"/>
    </row>
    <row r="71" spans="1:5" ht="15.75" customHeight="1" x14ac:dyDescent="0.45">
      <c r="A71" s="1"/>
      <c r="B71" s="7" t="s">
        <v>222</v>
      </c>
      <c r="C71" s="8"/>
      <c r="D71" s="8"/>
      <c r="E71" s="8"/>
    </row>
    <row r="72" spans="1:5" ht="15" customHeight="1" x14ac:dyDescent="0.45">
      <c r="A72" s="1"/>
      <c r="B72" s="9" t="s">
        <v>223</v>
      </c>
      <c r="C72" s="35">
        <f>currentYear_working_capital_net/currentYear_assets_total</f>
        <v>9.4457618449807046E-2</v>
      </c>
      <c r="D72" s="31" t="s">
        <v>224</v>
      </c>
      <c r="E72" s="32"/>
    </row>
    <row r="73" spans="1:5" ht="15" customHeight="1" x14ac:dyDescent="0.45">
      <c r="A73" s="1"/>
      <c r="B73" s="9" t="s">
        <v>225</v>
      </c>
      <c r="C73" s="35">
        <f>currentYear_assets_current/currentYear_liabilities_current</f>
        <v>1.4047820672478206</v>
      </c>
      <c r="D73" s="31" t="s">
        <v>226</v>
      </c>
      <c r="E73" s="32"/>
    </row>
    <row r="74" spans="1:5" ht="15" customHeight="1" x14ac:dyDescent="0.45">
      <c r="A74" s="1"/>
      <c r="B74" s="9" t="s">
        <v>227</v>
      </c>
      <c r="C74" s="35">
        <f>(currentYear_cash_marketable_securities+startYear_receivables)/currentYear_liabilities_current</f>
        <v>0.68453300124533001</v>
      </c>
      <c r="D74" s="31" t="s">
        <v>228</v>
      </c>
      <c r="E74" s="32"/>
    </row>
    <row r="75" spans="1:5" ht="15" customHeight="1" x14ac:dyDescent="0.45">
      <c r="A75" s="1"/>
      <c r="B75" s="9" t="s">
        <v>229</v>
      </c>
      <c r="C75" s="35">
        <f>currentYear_cash_marketable_securities/ currentYear_liabilities_current</f>
        <v>0.28533001245330014</v>
      </c>
      <c r="D75" s="31" t="s">
        <v>230</v>
      </c>
      <c r="E75" s="32"/>
    </row>
    <row r="76" spans="1:5" ht="6" customHeight="1" x14ac:dyDescent="0.45">
      <c r="A76" s="1"/>
      <c r="B76" s="1"/>
      <c r="C76" s="1"/>
      <c r="D76" s="1"/>
      <c r="E76" s="1"/>
    </row>
    <row r="77" spans="1:5" ht="15.75" customHeight="1" x14ac:dyDescent="0.45">
      <c r="A77" s="1"/>
      <c r="B77" s="7" t="s">
        <v>231</v>
      </c>
      <c r="C77" s="8"/>
      <c r="D77" s="8"/>
      <c r="E77" s="8"/>
    </row>
    <row r="78" spans="1:5" ht="15" customHeight="1" x14ac:dyDescent="0.45">
      <c r="A78" s="1"/>
      <c r="B78" s="9" t="s">
        <v>232</v>
      </c>
      <c r="C78" s="35">
        <f>C79*C80</f>
        <v>2.0450053302970805</v>
      </c>
      <c r="D78" s="31" t="s">
        <v>233</v>
      </c>
      <c r="E78" s="32"/>
    </row>
    <row r="79" spans="1:5" ht="15" customHeight="1" x14ac:dyDescent="0.45">
      <c r="A79" s="1"/>
      <c r="B79" s="36" t="s">
        <v>234</v>
      </c>
      <c r="C79" s="35">
        <f>C54</f>
        <v>0.78621166537267084</v>
      </c>
      <c r="D79" s="31" t="s">
        <v>235</v>
      </c>
      <c r="E79" s="32" t="s">
        <v>191</v>
      </c>
    </row>
    <row r="80" spans="1:5" ht="15" customHeight="1" x14ac:dyDescent="0.45">
      <c r="A80" s="1"/>
      <c r="B80" s="36" t="s">
        <v>236</v>
      </c>
      <c r="C80" s="35">
        <f>C60</f>
        <v>2.601087493821058</v>
      </c>
      <c r="D80" s="31" t="s">
        <v>235</v>
      </c>
      <c r="E80" s="32" t="s">
        <v>204</v>
      </c>
    </row>
    <row r="81" spans="1:5" ht="6" customHeight="1" x14ac:dyDescent="0.45">
      <c r="A81" s="1"/>
      <c r="B81" s="1"/>
      <c r="C81" s="1"/>
      <c r="D81" s="1"/>
      <c r="E81" s="1"/>
    </row>
    <row r="82" spans="1:5" ht="15" customHeight="1" x14ac:dyDescent="0.45">
      <c r="A82" s="1"/>
      <c r="B82" s="9" t="s">
        <v>237</v>
      </c>
      <c r="C82" s="35">
        <f>C83*C84*C85*C86</f>
        <v>85.640605397396712</v>
      </c>
      <c r="D82" s="31" t="s">
        <v>238</v>
      </c>
      <c r="E82" s="32"/>
    </row>
    <row r="83" spans="1:5" ht="15" customHeight="1" x14ac:dyDescent="0.45">
      <c r="A83" s="1"/>
      <c r="B83" s="36" t="s">
        <v>239</v>
      </c>
      <c r="C83" s="35">
        <f>C69</f>
        <v>2.6732544047730027</v>
      </c>
      <c r="D83" s="31" t="s">
        <v>240</v>
      </c>
      <c r="E83" s="32" t="s">
        <v>221</v>
      </c>
    </row>
    <row r="84" spans="1:5" ht="15" customHeight="1" x14ac:dyDescent="0.45">
      <c r="A84" s="1"/>
      <c r="B84" s="36" t="s">
        <v>234</v>
      </c>
      <c r="C84" s="35">
        <f>C54</f>
        <v>0.78621166537267084</v>
      </c>
      <c r="D84" s="31" t="s">
        <v>235</v>
      </c>
      <c r="E84" s="32" t="s">
        <v>191</v>
      </c>
    </row>
    <row r="85" spans="1:5" ht="15" customHeight="1" x14ac:dyDescent="0.45">
      <c r="A85" s="1"/>
      <c r="B85" s="36" t="s">
        <v>236</v>
      </c>
      <c r="C85" s="35">
        <f>C60</f>
        <v>2.601087493821058</v>
      </c>
      <c r="D85" s="31" t="s">
        <v>235</v>
      </c>
      <c r="E85" s="32" t="s">
        <v>204</v>
      </c>
    </row>
    <row r="86" spans="1:5" ht="15" customHeight="1" x14ac:dyDescent="0.45">
      <c r="A86" s="1"/>
      <c r="B86" s="36" t="s">
        <v>241</v>
      </c>
      <c r="C86" s="35">
        <f>C68</f>
        <v>15.665526415811479</v>
      </c>
      <c r="D86" s="31" t="s">
        <v>240</v>
      </c>
      <c r="E86" s="32" t="s">
        <v>218</v>
      </c>
    </row>
    <row r="87" spans="1:5" ht="6" customHeight="1" x14ac:dyDescent="0.45">
      <c r="A87" s="1"/>
      <c r="B87" s="1"/>
      <c r="C87" s="1"/>
      <c r="D87" s="1"/>
      <c r="E87" s="1"/>
    </row>
    <row r="88" spans="1:5" ht="16.5" x14ac:dyDescent="0.45">
      <c r="A88" s="1"/>
      <c r="B88" s="1"/>
      <c r="C88" s="1"/>
      <c r="D88" s="1"/>
      <c r="E88" s="1"/>
    </row>
    <row r="89" spans="1:5" ht="13.5" customHeight="1" x14ac:dyDescent="0.45">
      <c r="A89" s="1"/>
      <c r="B89" s="37" t="s">
        <v>242</v>
      </c>
      <c r="C89" s="38" t="s">
        <v>243</v>
      </c>
      <c r="D89" s="39" t="s">
        <v>244</v>
      </c>
      <c r="E89" s="40" t="s">
        <v>245</v>
      </c>
    </row>
    <row r="90" spans="1:5" ht="15" customHeight="1" x14ac:dyDescent="0.45">
      <c r="A90" s="1"/>
      <c r="B90" s="21" t="s">
        <v>34</v>
      </c>
      <c r="C90" s="1"/>
      <c r="D90" s="1"/>
      <c r="E90" s="1"/>
    </row>
  </sheetData>
  <dataValidations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60" customWidth="1"/>
    <col min="3" max="3" width="55" customWidth="1"/>
  </cols>
  <sheetData>
    <row r="1" spans="1:3" ht="21.75" customHeight="1" x14ac:dyDescent="0.55000000000000004">
      <c r="A1" s="1"/>
      <c r="B1" s="41" t="s">
        <v>246</v>
      </c>
      <c r="C1" s="1"/>
    </row>
    <row r="2" spans="1:3" ht="16.5" x14ac:dyDescent="0.45">
      <c r="A2" s="1"/>
      <c r="B2" s="1"/>
      <c r="C2" s="1"/>
    </row>
    <row r="3" spans="1:3" ht="15" customHeight="1" x14ac:dyDescent="0.45">
      <c r="A3" s="1"/>
      <c r="B3" s="42" t="s">
        <v>247</v>
      </c>
      <c r="C3" s="43" t="s">
        <v>248</v>
      </c>
    </row>
    <row r="4" spans="1:3" ht="15" customHeight="1" x14ac:dyDescent="0.45">
      <c r="A4" s="1"/>
      <c r="B4" s="42" t="s">
        <v>249</v>
      </c>
      <c r="C4" s="43" t="s">
        <v>250</v>
      </c>
    </row>
    <row r="5" spans="1:3" ht="15" customHeight="1" x14ac:dyDescent="0.45">
      <c r="A5" s="1"/>
      <c r="B5" s="42" t="s">
        <v>251</v>
      </c>
      <c r="C5" s="43" t="s">
        <v>252</v>
      </c>
    </row>
    <row r="6" spans="1:3" ht="15" customHeight="1" x14ac:dyDescent="0.45">
      <c r="A6" s="1"/>
      <c r="B6" s="42" t="s">
        <v>253</v>
      </c>
      <c r="C6" s="43" t="s">
        <v>2</v>
      </c>
    </row>
    <row r="7" spans="1:3" ht="15" customHeight="1" x14ac:dyDescent="0.45">
      <c r="A7" s="1"/>
      <c r="B7" s="42" t="s">
        <v>254</v>
      </c>
      <c r="C7" s="43" t="s">
        <v>3</v>
      </c>
    </row>
    <row r="8" spans="1:3" ht="15" customHeight="1" x14ac:dyDescent="0.45">
      <c r="A8" s="1"/>
      <c r="B8" s="42" t="s">
        <v>255</v>
      </c>
      <c r="C8" s="43" t="s">
        <v>256</v>
      </c>
    </row>
    <row r="9" spans="1:3" ht="15" customHeight="1" x14ac:dyDescent="0.45">
      <c r="A9" s="1"/>
      <c r="B9" s="42" t="s">
        <v>257</v>
      </c>
      <c r="C9" s="43" t="s">
        <v>258</v>
      </c>
    </row>
    <row r="10" spans="1:3" ht="15" customHeight="1" x14ac:dyDescent="0.45">
      <c r="A10" s="1"/>
      <c r="B10" s="42" t="s">
        <v>259</v>
      </c>
      <c r="C10" s="43" t="s">
        <v>260</v>
      </c>
    </row>
    <row r="11" spans="1:3" ht="15" customHeight="1" x14ac:dyDescent="0.45">
      <c r="A11" s="1"/>
      <c r="B11" s="42" t="s">
        <v>261</v>
      </c>
      <c r="C11" s="43" t="s">
        <v>262</v>
      </c>
    </row>
    <row r="12" spans="1:3" ht="15" customHeight="1" x14ac:dyDescent="0.45">
      <c r="A12" s="1"/>
      <c r="B12" s="42" t="s">
        <v>263</v>
      </c>
      <c r="C12" s="43" t="s">
        <v>264</v>
      </c>
    </row>
    <row r="13" spans="1:3" ht="15" customHeight="1" x14ac:dyDescent="0.45">
      <c r="A13" s="1"/>
      <c r="B13" s="42" t="s">
        <v>265</v>
      </c>
      <c r="C13" s="43" t="s">
        <v>266</v>
      </c>
    </row>
    <row r="14" spans="1:3" ht="15" customHeight="1" x14ac:dyDescent="0.45">
      <c r="A14" s="1"/>
      <c r="B14" s="1"/>
      <c r="C14" s="43"/>
    </row>
    <row r="15" spans="1:3" ht="15" customHeight="1" x14ac:dyDescent="0.45">
      <c r="A15" s="1"/>
      <c r="B15" s="42" t="s">
        <v>267</v>
      </c>
      <c r="C15" s="43" t="s">
        <v>268</v>
      </c>
    </row>
    <row r="16" spans="1:3" ht="15" customHeight="1" x14ac:dyDescent="0.45">
      <c r="A16" s="1"/>
      <c r="B16" s="42" t="s">
        <v>269</v>
      </c>
      <c r="C16" s="43" t="s">
        <v>270</v>
      </c>
    </row>
    <row r="17" spans="1:3" ht="15" customHeight="1" x14ac:dyDescent="0.45">
      <c r="A17" s="1"/>
      <c r="B17" s="42" t="s">
        <v>271</v>
      </c>
      <c r="C17" s="43" t="s">
        <v>272</v>
      </c>
    </row>
    <row r="18" spans="1:3" ht="15" customHeight="1" x14ac:dyDescent="0.45">
      <c r="A18" s="1"/>
      <c r="B18" s="42" t="s">
        <v>273</v>
      </c>
      <c r="C18" s="43" t="s">
        <v>274</v>
      </c>
    </row>
    <row r="19" spans="1:3" ht="15" customHeight="1" x14ac:dyDescent="0.45">
      <c r="A19" s="1"/>
      <c r="B19" s="1"/>
      <c r="C19" s="43"/>
    </row>
    <row r="20" spans="1:3" ht="15" customHeight="1" x14ac:dyDescent="0.45">
      <c r="A20" s="1"/>
      <c r="B20" s="42" t="s">
        <v>275</v>
      </c>
      <c r="C20" s="43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Caden Chew</cp:lastModifiedBy>
  <cp:revision>0</cp:revision>
  <dcterms:created xsi:type="dcterms:W3CDTF">2026-03-25T17:31:22Z</dcterms:created>
  <dcterms:modified xsi:type="dcterms:W3CDTF">2026-04-18T05:15:15Z</dcterms:modified>
  <dc:language>en-US</dc:language>
</cp:coreProperties>
</file>